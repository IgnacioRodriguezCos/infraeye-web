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Optimista" sheetId="2" state="visible" r:id="rId2"/>
    <sheet xmlns:r="http://schemas.openxmlformats.org/officeDocument/2006/relationships" name="Pesimista" sheetId="3" state="visible" r:id="rId3"/>
    <sheet xmlns:r="http://schemas.openxmlformats.org/officeDocument/2006/relationships" name="Indica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"/>
    <numFmt numFmtId="166" formatCode="#,##0;[Red]-#,##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3" fillId="4" borderId="1" pivotButton="0" quotePrefix="0" xfId="0"/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3" fillId="5" borderId="1" pivotButton="0" quotePrefix="0" xfId="0"/>
    <xf numFmtId="3" fontId="3" fillId="5" borderId="1" applyAlignment="1" pivotButton="0" quotePrefix="0" xfId="0">
      <alignment horizontal="center" vertical="center"/>
    </xf>
    <xf numFmtId="166" fontId="0" fillId="0" borderId="1" pivotButton="0" quotePrefix="0" xfId="0"/>
    <xf numFmtId="166" fontId="3" fillId="4" borderId="1" pivotButton="0" quotePrefix="0" xfId="0"/>
    <xf numFmtId="0" fontId="3" fillId="0" borderId="1" pivotButton="0" quotePrefix="0" xfId="0"/>
    <xf numFmtId="166" fontId="3" fillId="0" borderId="1" pivotButton="0" quotePrefix="0" xfId="0"/>
    <xf numFmtId="166" fontId="3" fillId="5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Flujo de fondos acumulado (USD)</a:t>
            </a:r>
          </a:p>
        </rich>
      </tx>
    </title>
    <plotArea>
      <lineChart>
        <grouping val="standard"/>
        <ser>
          <idx val="0"/>
          <order val="0"/>
          <tx>
            <v>Optimista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'Optimista'!$B$3:$G$3</f>
            </numRef>
          </cat>
          <val>
            <numRef>
              <f>'Optimista'!$B$24:$G$24</f>
            </numRef>
          </val>
        </ser>
        <ser>
          <idx val="1"/>
          <order val="1"/>
          <tx>
            <v>Pesimista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'Optimista'!$B$3:$G$3</f>
            </numRef>
          </cat>
          <val>
            <numRef>
              <f>'Pesimista'!$B$24:$G$24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INFRAEYE - SUPUESTOS DEL MODELO ECONÓMICO (USD)</t>
        </is>
      </c>
    </row>
    <row r="3">
      <c r="A3" s="2" t="inlineStr">
        <is>
          <t>PARÁMETROS GENERALES</t>
        </is>
      </c>
      <c r="B3" s="3" t="n"/>
    </row>
    <row r="4">
      <c r="A4" s="3" t="inlineStr">
        <is>
          <t>Horizonte de evaluación (años)</t>
        </is>
      </c>
      <c r="B4" s="4" t="n">
        <v>5</v>
      </c>
    </row>
    <row r="5">
      <c r="A5" s="3" t="inlineStr">
        <is>
          <t>Tasa de descuento anual (WACC)</t>
        </is>
      </c>
      <c r="B5" s="5" t="n">
        <v>0.18</v>
      </c>
    </row>
    <row r="6">
      <c r="A6" s="3" t="inlineStr">
        <is>
          <t>Crecimiento anual de costos fijos - Optimista</t>
        </is>
      </c>
      <c r="B6" s="5" t="n">
        <v>0.1</v>
      </c>
    </row>
    <row r="7">
      <c r="A7" s="3" t="inlineStr">
        <is>
          <t>Crecimiento anual de costos fijos - Pesimista</t>
        </is>
      </c>
      <c r="B7" s="5" t="n">
        <v>0.08</v>
      </c>
    </row>
    <row r="8">
      <c r="A8" s="3" t="inlineStr">
        <is>
          <t>Costo variable por cliente (USD/año)</t>
        </is>
      </c>
      <c r="B8" s="4" t="n">
        <v>6</v>
      </c>
    </row>
    <row r="10">
      <c r="A10" s="2" t="inlineStr">
        <is>
          <t>PRECIOS DE SUSCRIPCIÓN (USD/mes)</t>
        </is>
      </c>
      <c r="B10" s="3" t="n"/>
    </row>
    <row r="11">
      <c r="A11" s="3" t="inlineStr">
        <is>
          <t>Plan Starter (hasta 10 recursos)</t>
        </is>
      </c>
      <c r="B11" s="6" t="n">
        <v>10</v>
      </c>
    </row>
    <row r="12">
      <c r="A12" s="3" t="inlineStr">
        <is>
          <t>Plan Professional (hasta 25 recursos)</t>
        </is>
      </c>
      <c r="B12" s="6" t="n">
        <v>50</v>
      </c>
    </row>
    <row r="13">
      <c r="A13" s="3" t="inlineStr">
        <is>
          <t>Plan Enterprise (recursos ilimitados - estimado)</t>
        </is>
      </c>
      <c r="B13" s="6" t="n">
        <v>200</v>
      </c>
    </row>
    <row r="15">
      <c r="A15" s="2" t="inlineStr">
        <is>
          <t>INVERSIÓN INICIAL - AÑO 0 (USD)</t>
        </is>
      </c>
      <c r="B15" s="3" t="n"/>
    </row>
    <row r="16">
      <c r="A16" s="3" t="inlineStr">
        <is>
          <t>Desarrollo del MVP (2 desarrolladores, 12 meses)</t>
        </is>
      </c>
      <c r="B16" s="4" t="n">
        <v>18000</v>
      </c>
    </row>
    <row r="17">
      <c r="A17" s="3" t="inlineStr">
        <is>
          <t>Infraestructura y herramientas iniciales</t>
        </is>
      </c>
      <c r="B17" s="4" t="n">
        <v>2000</v>
      </c>
    </row>
    <row r="18">
      <c r="A18" s="3" t="inlineStr">
        <is>
          <t>Marketing de lanzamiento</t>
        </is>
      </c>
      <c r="B18" s="4" t="n">
        <v>3000</v>
      </c>
    </row>
    <row r="19">
      <c r="A19" s="3" t="inlineStr">
        <is>
          <t>Gastos legales y de registración</t>
        </is>
      </c>
      <c r="B19" s="4" t="n">
        <v>1500</v>
      </c>
    </row>
    <row r="20">
      <c r="A20" s="3" t="inlineStr">
        <is>
          <t>Capital de trabajo inicial</t>
        </is>
      </c>
      <c r="B20" s="4" t="n">
        <v>2500</v>
      </c>
    </row>
    <row r="21">
      <c r="A21" s="7" t="inlineStr">
        <is>
          <t>TOTAL INVERSIÓN INICIAL</t>
        </is>
      </c>
      <c r="B21" s="8">
        <f>SUM(B16:B20)</f>
        <v/>
      </c>
    </row>
    <row r="23">
      <c r="A23" s="2" t="inlineStr">
        <is>
          <t>COSTOS FIJOS ANUALES - AÑO 1, ESCENARIO OPTIMISTA (USD)</t>
        </is>
      </c>
      <c r="B23" s="3" t="n"/>
    </row>
    <row r="24">
      <c r="A24" s="3" t="inlineStr">
        <is>
          <t>Infraestructura cloud (backend, BD, monitoreo)</t>
        </is>
      </c>
      <c r="B24" s="4" t="n">
        <v>3600</v>
      </c>
    </row>
    <row r="25">
      <c r="A25" s="3" t="inlineStr">
        <is>
          <t>Herramientas y licencias</t>
        </is>
      </c>
      <c r="B25" s="4" t="n">
        <v>1200</v>
      </c>
    </row>
    <row r="26">
      <c r="A26" s="3" t="inlineStr">
        <is>
          <t>Marketing y ventas</t>
        </is>
      </c>
      <c r="B26" s="4" t="n">
        <v>4800</v>
      </c>
    </row>
    <row r="27">
      <c r="A27" s="3" t="inlineStr">
        <is>
          <t>Personal (2 desarrolladores + soporte)</t>
        </is>
      </c>
      <c r="B27" s="4" t="n">
        <v>24000</v>
      </c>
    </row>
    <row r="28">
      <c r="A28" s="3" t="inlineStr">
        <is>
          <t>Gastos administrativos y contables</t>
        </is>
      </c>
      <c r="B28" s="4" t="n">
        <v>1800</v>
      </c>
    </row>
    <row r="29">
      <c r="A29" s="7" t="inlineStr">
        <is>
          <t>TOTAL COSTOS FIJOS AÑO 1 - OPTIMISTA</t>
        </is>
      </c>
      <c r="B29" s="8">
        <f>SUM(B24:B28)</f>
        <v/>
      </c>
    </row>
    <row r="31">
      <c r="A31" s="2" t="inlineStr">
        <is>
          <t>COSTOS FIJOS ANUALES - AÑO 1, ESCENARIO PESIMISTA (USD)</t>
        </is>
      </c>
      <c r="B31" s="3" t="n"/>
    </row>
    <row r="32">
      <c r="A32" s="3" t="inlineStr">
        <is>
          <t>Infraestructura cloud (backend, BD, monitoreo)</t>
        </is>
      </c>
      <c r="B32" s="4" t="n">
        <v>3600</v>
      </c>
    </row>
    <row r="33">
      <c r="A33" s="3" t="inlineStr">
        <is>
          <t>Herramientas y licencias</t>
        </is>
      </c>
      <c r="B33" s="4" t="n">
        <v>1200</v>
      </c>
    </row>
    <row r="34">
      <c r="A34" s="3" t="inlineStr">
        <is>
          <t>Marketing y ventas (reducido)</t>
        </is>
      </c>
      <c r="B34" s="4" t="n">
        <v>2400</v>
      </c>
    </row>
    <row r="35">
      <c r="A35" s="3" t="inlineStr">
        <is>
          <t>Personal (soporte part-time, socios sin retiro)</t>
        </is>
      </c>
      <c r="B35" s="4" t="n">
        <v>9600</v>
      </c>
    </row>
    <row r="36">
      <c r="A36" s="3" t="inlineStr">
        <is>
          <t>Gastos administrativos y contables</t>
        </is>
      </c>
      <c r="B36" s="4" t="n">
        <v>1200</v>
      </c>
    </row>
    <row r="37">
      <c r="A37" s="7" t="inlineStr">
        <is>
          <t>TOTAL COSTOS FIJOS AÑO 1 - PESIMISTA</t>
        </is>
      </c>
      <c r="B37" s="8">
        <f>SUM(B32:B36)</f>
        <v/>
      </c>
    </row>
    <row r="39">
      <c r="A39" s="2" t="inlineStr">
        <is>
          <t>CLIENTES ACTIVOS PROMEDIO POR AÑO - ESCENARIO OPTIMISTA</t>
        </is>
      </c>
      <c r="B39" s="3" t="n"/>
      <c r="C39" s="3" t="n"/>
      <c r="D39" s="3" t="n"/>
      <c r="E39" s="3" t="n"/>
      <c r="F39" s="3" t="n"/>
    </row>
    <row r="40">
      <c r="B40" s="9" t="inlineStr">
        <is>
          <t>Año 1</t>
        </is>
      </c>
      <c r="C40" s="9" t="inlineStr">
        <is>
          <t>Año 2</t>
        </is>
      </c>
      <c r="D40" s="9" t="inlineStr">
        <is>
          <t>Año 3</t>
        </is>
      </c>
      <c r="E40" s="9" t="inlineStr">
        <is>
          <t>Año 4</t>
        </is>
      </c>
      <c r="F40" s="9" t="inlineStr">
        <is>
          <t>Año 5</t>
        </is>
      </c>
    </row>
    <row r="41">
      <c r="A41" s="3" t="inlineStr">
        <is>
          <t>Plan Starter</t>
        </is>
      </c>
      <c r="B41" s="4" t="n">
        <v>120</v>
      </c>
      <c r="C41" s="4" t="n">
        <v>300</v>
      </c>
      <c r="D41" s="4" t="n">
        <v>600</v>
      </c>
      <c r="E41" s="4" t="n">
        <v>1000</v>
      </c>
      <c r="F41" s="4" t="n">
        <v>1500</v>
      </c>
    </row>
    <row r="42">
      <c r="A42" s="3" t="inlineStr">
        <is>
          <t>Plan Professional</t>
        </is>
      </c>
      <c r="B42" s="4" t="n">
        <v>30</v>
      </c>
      <c r="C42" s="4" t="n">
        <v>80</v>
      </c>
      <c r="D42" s="4" t="n">
        <v>180</v>
      </c>
      <c r="E42" s="4" t="n">
        <v>320</v>
      </c>
      <c r="F42" s="4" t="n">
        <v>500</v>
      </c>
    </row>
    <row r="43">
      <c r="A43" s="3" t="inlineStr">
        <is>
          <t>Plan Enterprise</t>
        </is>
      </c>
      <c r="B43" s="4" t="n">
        <v>3</v>
      </c>
      <c r="C43" s="4" t="n">
        <v>10</v>
      </c>
      <c r="D43" s="4" t="n">
        <v>25</v>
      </c>
      <c r="E43" s="4" t="n">
        <v>45</v>
      </c>
      <c r="F43" s="4" t="n">
        <v>70</v>
      </c>
    </row>
    <row r="45">
      <c r="A45" s="2" t="inlineStr">
        <is>
          <t>CLIENTES ACTIVOS PROMEDIO POR AÑO - ESCENARIO PESIMISTA</t>
        </is>
      </c>
      <c r="B45" s="3" t="n"/>
      <c r="C45" s="3" t="n"/>
      <c r="D45" s="3" t="n"/>
      <c r="E45" s="3" t="n"/>
      <c r="F45" s="3" t="n"/>
    </row>
    <row r="46">
      <c r="B46" s="9" t="inlineStr">
        <is>
          <t>Año 1</t>
        </is>
      </c>
      <c r="C46" s="9" t="inlineStr">
        <is>
          <t>Año 2</t>
        </is>
      </c>
      <c r="D46" s="9" t="inlineStr">
        <is>
          <t>Año 3</t>
        </is>
      </c>
      <c r="E46" s="9" t="inlineStr">
        <is>
          <t>Año 4</t>
        </is>
      </c>
      <c r="F46" s="9" t="inlineStr">
        <is>
          <t>Año 5</t>
        </is>
      </c>
    </row>
    <row r="47">
      <c r="A47" s="3" t="inlineStr">
        <is>
          <t>Plan Starter</t>
        </is>
      </c>
      <c r="B47" s="4" t="n">
        <v>40</v>
      </c>
      <c r="C47" s="4" t="n">
        <v>70</v>
      </c>
      <c r="D47" s="4" t="n">
        <v>110</v>
      </c>
      <c r="E47" s="4" t="n">
        <v>150</v>
      </c>
      <c r="F47" s="4" t="n">
        <v>190</v>
      </c>
    </row>
    <row r="48">
      <c r="A48" s="3" t="inlineStr">
        <is>
          <t>Plan Professional</t>
        </is>
      </c>
      <c r="B48" s="4" t="n">
        <v>8</v>
      </c>
      <c r="C48" s="4" t="n">
        <v>15</v>
      </c>
      <c r="D48" s="4" t="n">
        <v>25</v>
      </c>
      <c r="E48" s="4" t="n">
        <v>35</v>
      </c>
      <c r="F48" s="4" t="n">
        <v>45</v>
      </c>
    </row>
    <row r="49">
      <c r="A49" s="3" t="inlineStr">
        <is>
          <t>Plan Enterprise</t>
        </is>
      </c>
      <c r="B49" s="4" t="n">
        <v>0</v>
      </c>
      <c r="C49" s="4" t="n">
        <v>1</v>
      </c>
      <c r="D49" s="4" t="n">
        <v>2</v>
      </c>
      <c r="E49" s="4" t="n">
        <v>3</v>
      </c>
      <c r="F49" s="4" t="n">
        <v>4</v>
      </c>
    </row>
    <row r="51">
      <c r="A51" s="10" t="inlineStr">
        <is>
          <t>Nota: precios de Starter y Professional según la estrategia de precios del plan. El precio Enterprise es una estimación del plan 'a definir'. Los supuestos de clientes, inversión y costos son estimaciones para la evaluación económica y pueden modificarse en esta hoja: todas las hojas se recalculan automáticamente.</t>
        </is>
      </c>
    </row>
    <row r="52"/>
  </sheetData>
  <mergeCells count="9">
    <mergeCell ref="A15:B15"/>
    <mergeCell ref="A1:F1"/>
    <mergeCell ref="A45:F45"/>
    <mergeCell ref="A10:B10"/>
    <mergeCell ref="A51:F52"/>
    <mergeCell ref="A23:B23"/>
    <mergeCell ref="A31:B31"/>
    <mergeCell ref="A3:B3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ESCENARIO OPTIMISTA - FLUJO DE FONDOS (USD)</t>
        </is>
      </c>
    </row>
    <row r="3">
      <c r="A3" s="11" t="inlineStr">
        <is>
          <t>Concepto</t>
        </is>
      </c>
      <c r="B3" s="11" t="inlineStr">
        <is>
          <t>Año 0</t>
        </is>
      </c>
      <c r="C3" s="11" t="inlineStr">
        <is>
          <t>Año 1</t>
        </is>
      </c>
      <c r="D3" s="11" t="inlineStr">
        <is>
          <t>Año 2</t>
        </is>
      </c>
      <c r="E3" s="11" t="inlineStr">
        <is>
          <t>Año 3</t>
        </is>
      </c>
      <c r="F3" s="11" t="inlineStr">
        <is>
          <t>Año 4</t>
        </is>
      </c>
      <c r="G3" s="11" t="inlineStr">
        <is>
          <t>Año 5</t>
        </is>
      </c>
    </row>
    <row r="4">
      <c r="A4" s="2" t="inlineStr">
        <is>
          <t>CLIENTES ACTIVOS PROMEDIO</t>
        </is>
      </c>
      <c r="B4" s="3" t="n"/>
      <c r="C4" s="3" t="n"/>
      <c r="D4" s="3" t="n"/>
      <c r="E4" s="3" t="n"/>
      <c r="F4" s="3" t="n"/>
      <c r="G4" s="3" t="n"/>
    </row>
    <row r="5">
      <c r="A5" s="3" t="inlineStr">
        <is>
          <t>Plan Starter</t>
        </is>
      </c>
      <c r="C5" s="4">
        <f>Supuestos!B41</f>
        <v/>
      </c>
      <c r="D5" s="4">
        <f>Supuestos!C41</f>
        <v/>
      </c>
      <c r="E5" s="4">
        <f>Supuestos!D41</f>
        <v/>
      </c>
      <c r="F5" s="4">
        <f>Supuestos!E41</f>
        <v/>
      </c>
      <c r="G5" s="4">
        <f>Supuestos!F41</f>
        <v/>
      </c>
    </row>
    <row r="6">
      <c r="A6" s="3" t="inlineStr">
        <is>
          <t>Plan Professional</t>
        </is>
      </c>
      <c r="C6" s="4">
        <f>Supuestos!B42</f>
        <v/>
      </c>
      <c r="D6" s="4">
        <f>Supuestos!C42</f>
        <v/>
      </c>
      <c r="E6" s="4">
        <f>Supuestos!D42</f>
        <v/>
      </c>
      <c r="F6" s="4">
        <f>Supuestos!E42</f>
        <v/>
      </c>
      <c r="G6" s="4">
        <f>Supuestos!F42</f>
        <v/>
      </c>
    </row>
    <row r="7">
      <c r="A7" s="3" t="inlineStr">
        <is>
          <t>Plan Enterprise</t>
        </is>
      </c>
      <c r="C7" s="4">
        <f>Supuestos!B43</f>
        <v/>
      </c>
      <c r="D7" s="4">
        <f>Supuestos!C43</f>
        <v/>
      </c>
      <c r="E7" s="4">
        <f>Supuestos!D43</f>
        <v/>
      </c>
      <c r="F7" s="4">
        <f>Supuestos!E43</f>
        <v/>
      </c>
      <c r="G7" s="4">
        <f>Supuestos!F43</f>
        <v/>
      </c>
    </row>
    <row r="8">
      <c r="A8" s="12" t="inlineStr">
        <is>
          <t>Total clientes</t>
        </is>
      </c>
      <c r="C8" s="13">
        <f>SUM(C5:C7)</f>
        <v/>
      </c>
      <c r="D8" s="13">
        <f>SUM(D5:D7)</f>
        <v/>
      </c>
      <c r="E8" s="13">
        <f>SUM(E5:E7)</f>
        <v/>
      </c>
      <c r="F8" s="13">
        <f>SUM(F5:F7)</f>
        <v/>
      </c>
      <c r="G8" s="13">
        <f>SUM(G5:G7)</f>
        <v/>
      </c>
    </row>
    <row r="10">
      <c r="A10" s="2" t="inlineStr">
        <is>
          <t>INGRESOS POR SUSCRIPCIONES (USD)</t>
        </is>
      </c>
      <c r="B10" s="3" t="n"/>
      <c r="C10" s="3" t="n"/>
      <c r="D10" s="3" t="n"/>
      <c r="E10" s="3" t="n"/>
      <c r="F10" s="3" t="n"/>
      <c r="G10" s="3" t="n"/>
    </row>
    <row r="11">
      <c r="A11" s="3" t="inlineStr">
        <is>
          <t>Ingresos Plan Starter ($10/mes)</t>
        </is>
      </c>
      <c r="C11" s="14">
        <f>C5*Supuestos!$B$11*12</f>
        <v/>
      </c>
      <c r="D11" s="14">
        <f>D5*Supuestos!$B$11*12</f>
        <v/>
      </c>
      <c r="E11" s="14">
        <f>E5*Supuestos!$B$11*12</f>
        <v/>
      </c>
      <c r="F11" s="14">
        <f>F5*Supuestos!$B$11*12</f>
        <v/>
      </c>
      <c r="G11" s="14">
        <f>G5*Supuestos!$B$11*12</f>
        <v/>
      </c>
    </row>
    <row r="12">
      <c r="A12" s="3" t="inlineStr">
        <is>
          <t>Ingresos Plan Professional ($50/mes)</t>
        </is>
      </c>
      <c r="C12" s="14">
        <f>C6*Supuestos!$B$12*12</f>
        <v/>
      </c>
      <c r="D12" s="14">
        <f>D6*Supuestos!$B$12*12</f>
        <v/>
      </c>
      <c r="E12" s="14">
        <f>E6*Supuestos!$B$12*12</f>
        <v/>
      </c>
      <c r="F12" s="14">
        <f>F6*Supuestos!$B$12*12</f>
        <v/>
      </c>
      <c r="G12" s="14">
        <f>G6*Supuestos!$B$12*12</f>
        <v/>
      </c>
    </row>
    <row r="13">
      <c r="A13" s="3" t="inlineStr">
        <is>
          <t>Ingresos Plan Enterprise ($200/mes)</t>
        </is>
      </c>
      <c r="C13" s="14">
        <f>C7*Supuestos!$B$13*12</f>
        <v/>
      </c>
      <c r="D13" s="14">
        <f>D7*Supuestos!$B$13*12</f>
        <v/>
      </c>
      <c r="E13" s="14">
        <f>E7*Supuestos!$B$13*12</f>
        <v/>
      </c>
      <c r="F13" s="14">
        <f>F7*Supuestos!$B$13*12</f>
        <v/>
      </c>
      <c r="G13" s="14">
        <f>G7*Supuestos!$B$13*12</f>
        <v/>
      </c>
    </row>
    <row r="14">
      <c r="A14" s="7" t="inlineStr">
        <is>
          <t>TOTAL INGRESOS</t>
        </is>
      </c>
      <c r="C14" s="15">
        <f>SUM(C11:C13)</f>
        <v/>
      </c>
      <c r="D14" s="15">
        <f>SUM(D11:D13)</f>
        <v/>
      </c>
      <c r="E14" s="15">
        <f>SUM(E11:E13)</f>
        <v/>
      </c>
      <c r="F14" s="15">
        <f>SUM(F11:F13)</f>
        <v/>
      </c>
      <c r="G14" s="15">
        <f>SUM(G11:G13)</f>
        <v/>
      </c>
    </row>
    <row r="16">
      <c r="A16" s="2" t="inlineStr">
        <is>
          <t>EGRESOS OPERATIVOS (USD)</t>
        </is>
      </c>
      <c r="B16" s="3" t="n"/>
      <c r="C16" s="3" t="n"/>
      <c r="D16" s="3" t="n"/>
      <c r="E16" s="3" t="n"/>
      <c r="F16" s="3" t="n"/>
      <c r="G16" s="3" t="n"/>
    </row>
    <row r="17">
      <c r="A17" s="3" t="inlineStr">
        <is>
          <t>Costos fijos operativos</t>
        </is>
      </c>
      <c r="C17" s="14">
        <f>Supuestos!$B$29</f>
        <v/>
      </c>
      <c r="D17" s="14">
        <f>C17*(1+Supuestos!$B$6)</f>
        <v/>
      </c>
      <c r="E17" s="14">
        <f>D17*(1+Supuestos!$B$6)</f>
        <v/>
      </c>
      <c r="F17" s="14">
        <f>E17*(1+Supuestos!$B$6)</f>
        <v/>
      </c>
      <c r="G17" s="14">
        <f>F17*(1+Supuestos!$B$6)</f>
        <v/>
      </c>
    </row>
    <row r="18">
      <c r="A18" s="3" t="inlineStr">
        <is>
          <t>Costos variables (por cliente)</t>
        </is>
      </c>
      <c r="C18" s="14">
        <f>C8*Supuestos!$B$8</f>
        <v/>
      </c>
      <c r="D18" s="14">
        <f>D8*Supuestos!$B$8</f>
        <v/>
      </c>
      <c r="E18" s="14">
        <f>E8*Supuestos!$B$8</f>
        <v/>
      </c>
      <c r="F18" s="14">
        <f>F8*Supuestos!$B$8</f>
        <v/>
      </c>
      <c r="G18" s="14">
        <f>G8*Supuestos!$B$8</f>
        <v/>
      </c>
    </row>
    <row r="19">
      <c r="A19" s="7" t="inlineStr">
        <is>
          <t>TOTAL EGRESOS</t>
        </is>
      </c>
      <c r="C19" s="15">
        <f>C17+C18</f>
        <v/>
      </c>
      <c r="D19" s="15">
        <f>D17+D18</f>
        <v/>
      </c>
      <c r="E19" s="15">
        <f>E17+E18</f>
        <v/>
      </c>
      <c r="F19" s="15">
        <f>F17+F18</f>
        <v/>
      </c>
      <c r="G19" s="15">
        <f>G17+G18</f>
        <v/>
      </c>
    </row>
    <row r="21">
      <c r="A21" s="2" t="inlineStr">
        <is>
          <t>FLUJO DE FONDOS (USD)</t>
        </is>
      </c>
      <c r="B21" s="3" t="n"/>
      <c r="C21" s="3" t="n"/>
      <c r="D21" s="3" t="n"/>
      <c r="E21" s="3" t="n"/>
      <c r="F21" s="3" t="n"/>
      <c r="G21" s="3" t="n"/>
    </row>
    <row r="22">
      <c r="A22" s="3" t="inlineStr">
        <is>
          <t>Inversión inicial (Año 0)</t>
        </is>
      </c>
      <c r="B22" s="14">
        <f>-Supuestos!$B$21</f>
        <v/>
      </c>
    </row>
    <row r="23">
      <c r="A23" s="16" t="inlineStr">
        <is>
          <t>Flujo neto del año</t>
        </is>
      </c>
      <c r="B23" s="17">
        <f>B22</f>
        <v/>
      </c>
      <c r="C23" s="17">
        <f>C14-C19</f>
        <v/>
      </c>
      <c r="D23" s="17">
        <f>D14-D19</f>
        <v/>
      </c>
      <c r="E23" s="17">
        <f>E14-E19</f>
        <v/>
      </c>
      <c r="F23" s="17">
        <f>F14-F19</f>
        <v/>
      </c>
      <c r="G23" s="17">
        <f>G14-G19</f>
        <v/>
      </c>
    </row>
    <row r="24">
      <c r="A24" s="12" t="inlineStr">
        <is>
          <t>Flujo neto acumulado</t>
        </is>
      </c>
      <c r="B24" s="18">
        <f>B23</f>
        <v/>
      </c>
      <c r="C24" s="18">
        <f>B24+C23</f>
        <v/>
      </c>
      <c r="D24" s="18">
        <f>C24+D23</f>
        <v/>
      </c>
      <c r="E24" s="18">
        <f>D24+E23</f>
        <v/>
      </c>
      <c r="F24" s="18">
        <f>E24+F23</f>
        <v/>
      </c>
      <c r="G24" s="18">
        <f>F24+G23</f>
        <v/>
      </c>
    </row>
    <row r="26">
      <c r="A26" s="2" t="inlineStr">
        <is>
          <t>PUNTO DE EQUILIBRIO (por año)</t>
        </is>
      </c>
      <c r="B26" s="3" t="n"/>
      <c r="C26" s="3" t="n"/>
      <c r="D26" s="3" t="n"/>
      <c r="E26" s="3" t="n"/>
      <c r="F26" s="3" t="n"/>
      <c r="G26" s="3" t="n"/>
    </row>
    <row r="27">
      <c r="A27" s="3" t="inlineStr">
        <is>
          <t>Margen de contribución sobre ingresos</t>
        </is>
      </c>
      <c r="C27" s="19">
        <f>1-C18/C14</f>
        <v/>
      </c>
      <c r="D27" s="19">
        <f>1-D18/D14</f>
        <v/>
      </c>
      <c r="E27" s="19">
        <f>1-E18/E14</f>
        <v/>
      </c>
      <c r="F27" s="19">
        <f>1-F18/F14</f>
        <v/>
      </c>
      <c r="G27" s="19">
        <f>1-G18/G14</f>
        <v/>
      </c>
    </row>
    <row r="28">
      <c r="A28" s="3" t="inlineStr">
        <is>
          <t>Ingresos necesarios para equilibrio (USD)</t>
        </is>
      </c>
      <c r="C28" s="14">
        <f>C17/C27</f>
        <v/>
      </c>
      <c r="D28" s="14">
        <f>D17/D27</f>
        <v/>
      </c>
      <c r="E28" s="14">
        <f>E17/E27</f>
        <v/>
      </c>
      <c r="F28" s="14">
        <f>F17/F27</f>
        <v/>
      </c>
      <c r="G28" s="14">
        <f>G17/G27</f>
        <v/>
      </c>
    </row>
    <row r="29">
      <c r="A29" s="3" t="inlineStr">
        <is>
          <t>¿El año supera el punto de equilibrio?</t>
        </is>
      </c>
      <c r="C29" s="20">
        <f>IF(C14&gt;=C28,"Sí","No")</f>
        <v/>
      </c>
      <c r="D29" s="20">
        <f>IF(D14&gt;=D28,"Sí","No")</f>
        <v/>
      </c>
      <c r="E29" s="20">
        <f>IF(E14&gt;=E28,"Sí","No")</f>
        <v/>
      </c>
      <c r="F29" s="20">
        <f>IF(F14&gt;=F28,"Sí","No")</f>
        <v/>
      </c>
      <c r="G29" s="20">
        <f>IF(G14&gt;=G28,"Sí","No")</f>
        <v/>
      </c>
    </row>
  </sheetData>
  <mergeCells count="6">
    <mergeCell ref="A1:G1"/>
    <mergeCell ref="A21:G21"/>
    <mergeCell ref="A4:G4"/>
    <mergeCell ref="A26:G26"/>
    <mergeCell ref="A16:G16"/>
    <mergeCell ref="A10:G10"/>
  </mergeCells>
  <conditionalFormatting sqref="C29:G29">
    <cfRule type="cellIs" priority="1" operator="equal" dxfId="0">
      <formula>"Sí"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ESCENARIO PESIMISTA - FLUJO DE FONDOS (USD)</t>
        </is>
      </c>
    </row>
    <row r="3">
      <c r="A3" s="11" t="inlineStr">
        <is>
          <t>Concepto</t>
        </is>
      </c>
      <c r="B3" s="11" t="inlineStr">
        <is>
          <t>Año 0</t>
        </is>
      </c>
      <c r="C3" s="11" t="inlineStr">
        <is>
          <t>Año 1</t>
        </is>
      </c>
      <c r="D3" s="11" t="inlineStr">
        <is>
          <t>Año 2</t>
        </is>
      </c>
      <c r="E3" s="11" t="inlineStr">
        <is>
          <t>Año 3</t>
        </is>
      </c>
      <c r="F3" s="11" t="inlineStr">
        <is>
          <t>Año 4</t>
        </is>
      </c>
      <c r="G3" s="11" t="inlineStr">
        <is>
          <t>Año 5</t>
        </is>
      </c>
    </row>
    <row r="4">
      <c r="A4" s="2" t="inlineStr">
        <is>
          <t>CLIENTES ACTIVOS PROMEDIO</t>
        </is>
      </c>
      <c r="B4" s="3" t="n"/>
      <c r="C4" s="3" t="n"/>
      <c r="D4" s="3" t="n"/>
      <c r="E4" s="3" t="n"/>
      <c r="F4" s="3" t="n"/>
      <c r="G4" s="3" t="n"/>
    </row>
    <row r="5">
      <c r="A5" s="3" t="inlineStr">
        <is>
          <t>Plan Starter</t>
        </is>
      </c>
      <c r="C5" s="4">
        <f>Supuestos!B47</f>
        <v/>
      </c>
      <c r="D5" s="4">
        <f>Supuestos!C47</f>
        <v/>
      </c>
      <c r="E5" s="4">
        <f>Supuestos!D47</f>
        <v/>
      </c>
      <c r="F5" s="4">
        <f>Supuestos!E47</f>
        <v/>
      </c>
      <c r="G5" s="4">
        <f>Supuestos!F47</f>
        <v/>
      </c>
    </row>
    <row r="6">
      <c r="A6" s="3" t="inlineStr">
        <is>
          <t>Plan Professional</t>
        </is>
      </c>
      <c r="C6" s="4">
        <f>Supuestos!B48</f>
        <v/>
      </c>
      <c r="D6" s="4">
        <f>Supuestos!C48</f>
        <v/>
      </c>
      <c r="E6" s="4">
        <f>Supuestos!D48</f>
        <v/>
      </c>
      <c r="F6" s="4">
        <f>Supuestos!E48</f>
        <v/>
      </c>
      <c r="G6" s="4">
        <f>Supuestos!F48</f>
        <v/>
      </c>
    </row>
    <row r="7">
      <c r="A7" s="3" t="inlineStr">
        <is>
          <t>Plan Enterprise</t>
        </is>
      </c>
      <c r="C7" s="4">
        <f>Supuestos!B49</f>
        <v/>
      </c>
      <c r="D7" s="4">
        <f>Supuestos!C49</f>
        <v/>
      </c>
      <c r="E7" s="4">
        <f>Supuestos!D49</f>
        <v/>
      </c>
      <c r="F7" s="4">
        <f>Supuestos!E49</f>
        <v/>
      </c>
      <c r="G7" s="4">
        <f>Supuestos!F49</f>
        <v/>
      </c>
    </row>
    <row r="8">
      <c r="A8" s="12" t="inlineStr">
        <is>
          <t>Total clientes</t>
        </is>
      </c>
      <c r="C8" s="13">
        <f>SUM(C5:C7)</f>
        <v/>
      </c>
      <c r="D8" s="13">
        <f>SUM(D5:D7)</f>
        <v/>
      </c>
      <c r="E8" s="13">
        <f>SUM(E5:E7)</f>
        <v/>
      </c>
      <c r="F8" s="13">
        <f>SUM(F5:F7)</f>
        <v/>
      </c>
      <c r="G8" s="13">
        <f>SUM(G5:G7)</f>
        <v/>
      </c>
    </row>
    <row r="10">
      <c r="A10" s="2" t="inlineStr">
        <is>
          <t>INGRESOS POR SUSCRIPCIONES (USD)</t>
        </is>
      </c>
      <c r="B10" s="3" t="n"/>
      <c r="C10" s="3" t="n"/>
      <c r="D10" s="3" t="n"/>
      <c r="E10" s="3" t="n"/>
      <c r="F10" s="3" t="n"/>
      <c r="G10" s="3" t="n"/>
    </row>
    <row r="11">
      <c r="A11" s="3" t="inlineStr">
        <is>
          <t>Ingresos Plan Starter ($10/mes)</t>
        </is>
      </c>
      <c r="C11" s="14">
        <f>C5*Supuestos!$B$11*12</f>
        <v/>
      </c>
      <c r="D11" s="14">
        <f>D5*Supuestos!$B$11*12</f>
        <v/>
      </c>
      <c r="E11" s="14">
        <f>E5*Supuestos!$B$11*12</f>
        <v/>
      </c>
      <c r="F11" s="14">
        <f>F5*Supuestos!$B$11*12</f>
        <v/>
      </c>
      <c r="G11" s="14">
        <f>G5*Supuestos!$B$11*12</f>
        <v/>
      </c>
    </row>
    <row r="12">
      <c r="A12" s="3" t="inlineStr">
        <is>
          <t>Ingresos Plan Professional ($50/mes)</t>
        </is>
      </c>
      <c r="C12" s="14">
        <f>C6*Supuestos!$B$12*12</f>
        <v/>
      </c>
      <c r="D12" s="14">
        <f>D6*Supuestos!$B$12*12</f>
        <v/>
      </c>
      <c r="E12" s="14">
        <f>E6*Supuestos!$B$12*12</f>
        <v/>
      </c>
      <c r="F12" s="14">
        <f>F6*Supuestos!$B$12*12</f>
        <v/>
      </c>
      <c r="G12" s="14">
        <f>G6*Supuestos!$B$12*12</f>
        <v/>
      </c>
    </row>
    <row r="13">
      <c r="A13" s="3" t="inlineStr">
        <is>
          <t>Ingresos Plan Enterprise ($200/mes)</t>
        </is>
      </c>
      <c r="C13" s="14">
        <f>C7*Supuestos!$B$13*12</f>
        <v/>
      </c>
      <c r="D13" s="14">
        <f>D7*Supuestos!$B$13*12</f>
        <v/>
      </c>
      <c r="E13" s="14">
        <f>E7*Supuestos!$B$13*12</f>
        <v/>
      </c>
      <c r="F13" s="14">
        <f>F7*Supuestos!$B$13*12</f>
        <v/>
      </c>
      <c r="G13" s="14">
        <f>G7*Supuestos!$B$13*12</f>
        <v/>
      </c>
    </row>
    <row r="14">
      <c r="A14" s="7" t="inlineStr">
        <is>
          <t>TOTAL INGRESOS</t>
        </is>
      </c>
      <c r="C14" s="15">
        <f>SUM(C11:C13)</f>
        <v/>
      </c>
      <c r="D14" s="15">
        <f>SUM(D11:D13)</f>
        <v/>
      </c>
      <c r="E14" s="15">
        <f>SUM(E11:E13)</f>
        <v/>
      </c>
      <c r="F14" s="15">
        <f>SUM(F11:F13)</f>
        <v/>
      </c>
      <c r="G14" s="15">
        <f>SUM(G11:G13)</f>
        <v/>
      </c>
    </row>
    <row r="16">
      <c r="A16" s="2" t="inlineStr">
        <is>
          <t>EGRESOS OPERATIVOS (USD)</t>
        </is>
      </c>
      <c r="B16" s="3" t="n"/>
      <c r="C16" s="3" t="n"/>
      <c r="D16" s="3" t="n"/>
      <c r="E16" s="3" t="n"/>
      <c r="F16" s="3" t="n"/>
      <c r="G16" s="3" t="n"/>
    </row>
    <row r="17">
      <c r="A17" s="3" t="inlineStr">
        <is>
          <t>Costos fijos operativos</t>
        </is>
      </c>
      <c r="C17" s="14">
        <f>Supuestos!$B$37</f>
        <v/>
      </c>
      <c r="D17" s="14">
        <f>C17*(1+Supuestos!$B$7)</f>
        <v/>
      </c>
      <c r="E17" s="14">
        <f>D17*(1+Supuestos!$B$7)</f>
        <v/>
      </c>
      <c r="F17" s="14">
        <f>E17*(1+Supuestos!$B$7)</f>
        <v/>
      </c>
      <c r="G17" s="14">
        <f>F17*(1+Supuestos!$B$7)</f>
        <v/>
      </c>
    </row>
    <row r="18">
      <c r="A18" s="3" t="inlineStr">
        <is>
          <t>Costos variables (por cliente)</t>
        </is>
      </c>
      <c r="C18" s="14">
        <f>C8*Supuestos!$B$8</f>
        <v/>
      </c>
      <c r="D18" s="14">
        <f>D8*Supuestos!$B$8</f>
        <v/>
      </c>
      <c r="E18" s="14">
        <f>E8*Supuestos!$B$8</f>
        <v/>
      </c>
      <c r="F18" s="14">
        <f>F8*Supuestos!$B$8</f>
        <v/>
      </c>
      <c r="G18" s="14">
        <f>G8*Supuestos!$B$8</f>
        <v/>
      </c>
    </row>
    <row r="19">
      <c r="A19" s="7" t="inlineStr">
        <is>
          <t>TOTAL EGRESOS</t>
        </is>
      </c>
      <c r="C19" s="15">
        <f>C17+C18</f>
        <v/>
      </c>
      <c r="D19" s="15">
        <f>D17+D18</f>
        <v/>
      </c>
      <c r="E19" s="15">
        <f>E17+E18</f>
        <v/>
      </c>
      <c r="F19" s="15">
        <f>F17+F18</f>
        <v/>
      </c>
      <c r="G19" s="15">
        <f>G17+G18</f>
        <v/>
      </c>
    </row>
    <row r="21">
      <c r="A21" s="2" t="inlineStr">
        <is>
          <t>FLUJO DE FONDOS (USD)</t>
        </is>
      </c>
      <c r="B21" s="3" t="n"/>
      <c r="C21" s="3" t="n"/>
      <c r="D21" s="3" t="n"/>
      <c r="E21" s="3" t="n"/>
      <c r="F21" s="3" t="n"/>
      <c r="G21" s="3" t="n"/>
    </row>
    <row r="22">
      <c r="A22" s="3" t="inlineStr">
        <is>
          <t>Inversión inicial (Año 0)</t>
        </is>
      </c>
      <c r="B22" s="14">
        <f>-Supuestos!$B$21</f>
        <v/>
      </c>
    </row>
    <row r="23">
      <c r="A23" s="16" t="inlineStr">
        <is>
          <t>Flujo neto del año</t>
        </is>
      </c>
      <c r="B23" s="17">
        <f>B22</f>
        <v/>
      </c>
      <c r="C23" s="17">
        <f>C14-C19</f>
        <v/>
      </c>
      <c r="D23" s="17">
        <f>D14-D19</f>
        <v/>
      </c>
      <c r="E23" s="17">
        <f>E14-E19</f>
        <v/>
      </c>
      <c r="F23" s="17">
        <f>F14-F19</f>
        <v/>
      </c>
      <c r="G23" s="17">
        <f>G14-G19</f>
        <v/>
      </c>
    </row>
    <row r="24">
      <c r="A24" s="12" t="inlineStr">
        <is>
          <t>Flujo neto acumulado</t>
        </is>
      </c>
      <c r="B24" s="18">
        <f>B23</f>
        <v/>
      </c>
      <c r="C24" s="18">
        <f>B24+C23</f>
        <v/>
      </c>
      <c r="D24" s="18">
        <f>C24+D23</f>
        <v/>
      </c>
      <c r="E24" s="18">
        <f>D24+E23</f>
        <v/>
      </c>
      <c r="F24" s="18">
        <f>E24+F23</f>
        <v/>
      </c>
      <c r="G24" s="18">
        <f>F24+G23</f>
        <v/>
      </c>
    </row>
    <row r="26">
      <c r="A26" s="2" t="inlineStr">
        <is>
          <t>PUNTO DE EQUILIBRIO (por año)</t>
        </is>
      </c>
      <c r="B26" s="3" t="n"/>
      <c r="C26" s="3" t="n"/>
      <c r="D26" s="3" t="n"/>
      <c r="E26" s="3" t="n"/>
      <c r="F26" s="3" t="n"/>
      <c r="G26" s="3" t="n"/>
    </row>
    <row r="27">
      <c r="A27" s="3" t="inlineStr">
        <is>
          <t>Margen de contribución sobre ingresos</t>
        </is>
      </c>
      <c r="C27" s="19">
        <f>1-C18/C14</f>
        <v/>
      </c>
      <c r="D27" s="19">
        <f>1-D18/D14</f>
        <v/>
      </c>
      <c r="E27" s="19">
        <f>1-E18/E14</f>
        <v/>
      </c>
      <c r="F27" s="19">
        <f>1-F18/F14</f>
        <v/>
      </c>
      <c r="G27" s="19">
        <f>1-G18/G14</f>
        <v/>
      </c>
    </row>
    <row r="28">
      <c r="A28" s="3" t="inlineStr">
        <is>
          <t>Ingresos necesarios para equilibrio (USD)</t>
        </is>
      </c>
      <c r="C28" s="14">
        <f>C17/C27</f>
        <v/>
      </c>
      <c r="D28" s="14">
        <f>D17/D27</f>
        <v/>
      </c>
      <c r="E28" s="14">
        <f>E17/E27</f>
        <v/>
      </c>
      <c r="F28" s="14">
        <f>F17/F27</f>
        <v/>
      </c>
      <c r="G28" s="14">
        <f>G17/G27</f>
        <v/>
      </c>
    </row>
    <row r="29">
      <c r="A29" s="3" t="inlineStr">
        <is>
          <t>¿El año supera el punto de equilibrio?</t>
        </is>
      </c>
      <c r="C29" s="20">
        <f>IF(C14&gt;=C28,"Sí","No")</f>
        <v/>
      </c>
      <c r="D29" s="20">
        <f>IF(D14&gt;=D28,"Sí","No")</f>
        <v/>
      </c>
      <c r="E29" s="20">
        <f>IF(E14&gt;=E28,"Sí","No")</f>
        <v/>
      </c>
      <c r="F29" s="20">
        <f>IF(F14&gt;=F28,"Sí","No")</f>
        <v/>
      </c>
      <c r="G29" s="20">
        <f>IF(G14&gt;=G28,"Sí","No")</f>
        <v/>
      </c>
    </row>
  </sheetData>
  <mergeCells count="6">
    <mergeCell ref="A1:G1"/>
    <mergeCell ref="A21:G21"/>
    <mergeCell ref="A4:G4"/>
    <mergeCell ref="A26:G26"/>
    <mergeCell ref="A16:G16"/>
    <mergeCell ref="A10:G10"/>
  </mergeCells>
  <conditionalFormatting sqref="C29:G29">
    <cfRule type="cellIs" priority="1" operator="equal" dxfId="0">
      <formula>"Sí"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</cols>
  <sheetData>
    <row r="1" ht="26" customHeight="1">
      <c r="A1" s="1" t="inlineStr">
        <is>
          <t>INFRAEYE - EVALUACIÓN ECONÓMICA (TIR, VAN, PAYBACK Y PUNTO DE EQUILIBRIO)</t>
        </is>
      </c>
    </row>
    <row r="3">
      <c r="A3" s="11" t="inlineStr">
        <is>
          <t>Indicador</t>
        </is>
      </c>
      <c r="B3" s="11" t="inlineStr">
        <is>
          <t>OPTIMISTA</t>
        </is>
      </c>
      <c r="C3" s="11" t="inlineStr">
        <is>
          <t>PESIMISTA</t>
        </is>
      </c>
    </row>
    <row r="4">
      <c r="A4" s="3" t="inlineStr">
        <is>
          <t>Inversión inicial (USD)</t>
        </is>
      </c>
      <c r="B4" s="21">
        <f>Supuestos!B21</f>
        <v/>
      </c>
      <c r="C4" s="21">
        <f>Supuestos!B21</f>
        <v/>
      </c>
    </row>
    <row r="5">
      <c r="A5" s="3" t="inlineStr">
        <is>
          <t>TIR (horizonte 5 años)</t>
        </is>
      </c>
      <c r="B5" s="5">
        <f>IRR(Optimista!B23:G23)</f>
        <v/>
      </c>
      <c r="C5" s="5">
        <f>IRR(Pesimista!B23:G23)</f>
        <v/>
      </c>
    </row>
    <row r="6">
      <c r="A6" s="3" t="inlineStr">
        <is>
          <t>VAN al WACC (USD)</t>
        </is>
      </c>
      <c r="B6" s="21">
        <f>NPV(Supuestos!B5,Optimista!C23:G23)+Optimista!B23</f>
        <v/>
      </c>
      <c r="C6" s="21">
        <f>NPV(Supuestos!B5,Pesimista!C23:G23)+Pesimista!B23</f>
        <v/>
      </c>
    </row>
    <row r="7">
      <c r="A7" s="3" t="inlineStr">
        <is>
          <t>Payback (años)</t>
        </is>
      </c>
      <c r="B7" s="22">
        <f>IF(COUNTIF(Optimista!B24:G24,"&lt;0")=0,0,IF(COUNTIF(Optimista!B24:G24,"&lt;0")=6,"No se recupera en el horizonte",(COUNTIF(Optimista!B24:G24,"&lt;0")-1)+ABS(INDEX(Optimista!B24:G24,COUNTIF(Optimista!B24:G24,"&lt;0")))/INDEX(Optimista!B23:G23,COUNTIF(Optimista!B24:G24,"&lt;0")+1)))</f>
        <v/>
      </c>
      <c r="C7" s="22">
        <f>IF(COUNTIF(Pesimista!B24:G24,"&lt;0")=0,0,IF(COUNTIF(Pesimista!B24:G24,"&lt;0")=6,"No se recupera en el horizonte",(COUNTIF(Pesimista!B24:G24,"&lt;0")-1)+ABS(INDEX(Pesimista!B24:G24,COUNTIF(Pesimista!B24:G24,"&lt;0")))/INDEX(Pesimista!B23:G23,COUNTIF(Pesimista!B24:G24,"&lt;0")+1)))</f>
        <v/>
      </c>
    </row>
    <row r="8">
      <c r="A8" s="3" t="inlineStr">
        <is>
          <t>Flujo neto acumulado al Año 5 (USD)</t>
        </is>
      </c>
      <c r="B8" s="21">
        <f>Optimista!G24</f>
        <v/>
      </c>
      <c r="C8" s="21">
        <f>Pesimista!G24</f>
        <v/>
      </c>
    </row>
    <row r="9">
      <c r="A9" s="3" t="inlineStr">
        <is>
          <t>Ingresos Año 1 (USD)</t>
        </is>
      </c>
      <c r="B9" s="21">
        <f>Optimista!C14</f>
        <v/>
      </c>
      <c r="C9" s="21">
        <f>Pesimista!C14</f>
        <v/>
      </c>
    </row>
    <row r="10">
      <c r="A10" s="3" t="inlineStr">
        <is>
          <t>Punto de equilibrio Año 1 (USD de ingresos)</t>
        </is>
      </c>
      <c r="B10" s="21">
        <f>Optimista!C28</f>
        <v/>
      </c>
      <c r="C10" s="21">
        <f>Pesimista!C28</f>
        <v/>
      </c>
    </row>
    <row r="11">
      <c r="A11" s="3" t="inlineStr">
        <is>
          <t>Primer año con flujo neto positivo</t>
        </is>
      </c>
      <c r="B11" s="4">
        <f>IF(Optimista!C23&gt;=0,1,IF(Optimista!D23&gt;=0,2,IF(Optimista!E23&gt;=0,3,IF(Optimista!F23&gt;=0,4,IF(Optimista!G23&gt;=0,5,"Ninguno")))))</f>
        <v/>
      </c>
      <c r="C11" s="4">
        <f>IF(Pesimista!C23&gt;=0,1,IF(Pesimista!D23&gt;=0,2,IF(Pesimista!E23&gt;=0,3,IF(Pesimista!F23&gt;=0,4,IF(Pesimista!G23&gt;=0,5,"Ninguno")))))</f>
        <v/>
      </c>
    </row>
    <row r="13">
      <c r="A13" s="2" t="inlineStr">
        <is>
          <t>CONCLUSIONES (se actualizan automáticamente)</t>
        </is>
      </c>
      <c r="B13" s="3" t="n"/>
      <c r="C13" s="3" t="n"/>
    </row>
    <row r="14" ht="30" customHeight="1">
      <c r="A14" s="3" t="inlineStr">
        <is>
          <t>Escenario Optimista</t>
        </is>
      </c>
      <c r="B14" s="23">
        <f>IF(AND(B5&gt;Supuestos!B5,B6&gt;0),"Proyecto viable: la TIR supera la tasa de descuento y el VAN es positivo.","Proyecto no viable: la rentabilidad no alcanza la tasa de descuento requerida.")</f>
        <v/>
      </c>
    </row>
    <row r="15" ht="30" customHeight="1">
      <c r="A15" s="3" t="inlineStr">
        <is>
          <t>Escenario Pesimista</t>
        </is>
      </c>
      <c r="B15" s="23">
        <f>IF(AND(C5&gt;Supuestos!B5,C6&gt;0),"Proyecto viable: la TIR supera la tasa de descuento y el VAN es positivo.","Proyecto no viable: la rentabilidad no alcanza la tasa de descuento requerida.")</f>
        <v/>
      </c>
    </row>
  </sheetData>
  <mergeCells count="4">
    <mergeCell ref="A1:C1"/>
    <mergeCell ref="B14:C14"/>
    <mergeCell ref="A13:C13"/>
    <mergeCell ref="B15:C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2026-10-11T18:27:57Z</dcterms:created>
  <dcterms:modified xmlns:dcterms="http://purl.org/dc/terms/" xmlns:xsi="http://www.w3.org/2001/XMLSchema-instance" xsi:type="dcterms:W3CDTF">2026-10-11T18:27:57Z</dcterms:modified>
</cp:coreProperties>
</file>